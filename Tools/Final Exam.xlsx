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ita\OneDrive\Desktop\Tools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F18" i="1"/>
  <c r="E18" i="1"/>
  <c r="D18" i="1"/>
  <c r="C18" i="1"/>
  <c r="B18" i="1"/>
  <c r="C16" i="1"/>
  <c r="A18" i="1"/>
  <c r="B16" i="1"/>
  <c r="A16" i="1"/>
  <c r="G14" i="1"/>
  <c r="F14" i="1"/>
  <c r="H13" i="1"/>
  <c r="H12" i="1"/>
  <c r="H11" i="1"/>
  <c r="H10" i="1"/>
  <c r="H9" i="1"/>
  <c r="H8" i="1"/>
  <c r="H7" i="1"/>
  <c r="H6" i="1"/>
  <c r="H5" i="1"/>
  <c r="H4" i="1"/>
  <c r="H3" i="1"/>
  <c r="H2" i="1"/>
  <c r="H14" i="1" l="1"/>
</calcChain>
</file>

<file path=xl/sharedStrings.xml><?xml version="1.0" encoding="utf-8"?>
<sst xmlns="http://schemas.openxmlformats.org/spreadsheetml/2006/main" count="73" uniqueCount="40">
  <si>
    <t>OrderDate</t>
  </si>
  <si>
    <t>Region</t>
  </si>
  <si>
    <t>city</t>
  </si>
  <si>
    <t>Category</t>
  </si>
  <si>
    <t>Product</t>
  </si>
  <si>
    <t>Quantity</t>
  </si>
  <si>
    <t>UnitPrice</t>
  </si>
  <si>
    <t>13/01/2020</t>
  </si>
  <si>
    <t>16/01/2020</t>
  </si>
  <si>
    <t>19/01/2020</t>
  </si>
  <si>
    <t>22/01/2020</t>
  </si>
  <si>
    <t>25/01/2020</t>
  </si>
  <si>
    <t>28/01/2020</t>
  </si>
  <si>
    <t>31/01/2020</t>
  </si>
  <si>
    <t>Esat</t>
  </si>
  <si>
    <t>West</t>
  </si>
  <si>
    <t>Boston</t>
  </si>
  <si>
    <t>Los Angeles</t>
  </si>
  <si>
    <t>New york</t>
  </si>
  <si>
    <t>Bars</t>
  </si>
  <si>
    <t>Carckers</t>
  </si>
  <si>
    <t>Cookies</t>
  </si>
  <si>
    <t>Crackers</t>
  </si>
  <si>
    <t>Snacks</t>
  </si>
  <si>
    <t>Carrot</t>
  </si>
  <si>
    <t>whole Wheat</t>
  </si>
  <si>
    <t>Chocolate Chip</t>
  </si>
  <si>
    <t>Arrowroot</t>
  </si>
  <si>
    <t>potato Chips</t>
  </si>
  <si>
    <t>Total Prcie</t>
  </si>
  <si>
    <t>Maximum</t>
  </si>
  <si>
    <t>MINUMUM</t>
  </si>
  <si>
    <t>Total Price(BOSTON, NEWYORK)</t>
  </si>
  <si>
    <t>AVERAGE whole wheat</t>
  </si>
  <si>
    <t>Total Price vegetables</t>
  </si>
  <si>
    <t>Total Price Cookies chocolate</t>
  </si>
  <si>
    <t>Count quantity</t>
  </si>
  <si>
    <t>Average Price Cookies and Crackers</t>
  </si>
  <si>
    <t>quantity count</t>
  </si>
  <si>
    <t>Total Price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</si>
</sst>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5" fillId="4" borderId="1" xfId="3" applyBorder="1" applyAlignment="1">
      <alignment horizontal="center" vertical="center"/>
    </xf>
    <xf numFmtId="0" fontId="1" fillId="5" borderId="1" xfId="4" applyBorder="1" applyAlignment="1">
      <alignment horizontal="center" vertical="center"/>
    </xf>
  </cellXfs>
  <cellStyles count="5">
    <cellStyle name="20% - Accent5" xfId="4" builtinId="46"/>
    <cellStyle name="Accent1" xfId="3" builtinId="29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C3" workbookViewId="0">
      <selection activeCell="G18" sqref="G18"/>
    </sheetView>
  </sheetViews>
  <sheetFormatPr defaultColWidth="31.77734375" defaultRowHeight="23.4" customHeight="1" x14ac:dyDescent="0.3"/>
  <cols>
    <col min="1" max="1" width="31.77734375" style="1"/>
  </cols>
  <sheetData>
    <row r="1" spans="1:8" ht="23.4" customHeight="1" x14ac:dyDescent="0.3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13" t="s">
        <v>6</v>
      </c>
      <c r="H1" s="14" t="s">
        <v>29</v>
      </c>
    </row>
    <row r="2" spans="1:8" ht="23.4" customHeight="1" x14ac:dyDescent="0.3">
      <c r="A2" s="5">
        <v>44562</v>
      </c>
      <c r="B2" s="6" t="s">
        <v>14</v>
      </c>
      <c r="C2" s="6" t="s">
        <v>16</v>
      </c>
      <c r="D2" s="6" t="s">
        <v>19</v>
      </c>
      <c r="E2" s="6" t="s">
        <v>24</v>
      </c>
      <c r="F2" s="6">
        <v>33</v>
      </c>
      <c r="G2" s="6">
        <v>1.77</v>
      </c>
      <c r="H2" s="6">
        <f>SUM(F2,G2)</f>
        <v>34.770000000000003</v>
      </c>
    </row>
    <row r="3" spans="1:8" ht="23.4" customHeight="1" x14ac:dyDescent="0.3">
      <c r="A3" s="5">
        <v>43922</v>
      </c>
      <c r="B3" s="6" t="s">
        <v>14</v>
      </c>
      <c r="C3" s="6" t="s">
        <v>16</v>
      </c>
      <c r="D3" s="6" t="s">
        <v>20</v>
      </c>
      <c r="E3" s="6" t="s">
        <v>25</v>
      </c>
      <c r="F3" s="6">
        <v>87</v>
      </c>
      <c r="G3" s="6">
        <v>3.49</v>
      </c>
      <c r="H3" s="6">
        <f>SUM(F3,G3)</f>
        <v>90.49</v>
      </c>
    </row>
    <row r="4" spans="1:8" ht="23.4" customHeight="1" x14ac:dyDescent="0.3">
      <c r="A4" s="5">
        <v>44013</v>
      </c>
      <c r="B4" s="6" t="s">
        <v>15</v>
      </c>
      <c r="C4" s="6" t="s">
        <v>17</v>
      </c>
      <c r="D4" s="6" t="s">
        <v>20</v>
      </c>
      <c r="E4" s="6" t="s">
        <v>26</v>
      </c>
      <c r="F4" s="6">
        <v>58</v>
      </c>
      <c r="G4" s="6">
        <v>1.87</v>
      </c>
      <c r="H4" s="6">
        <f>SUM(F4,G4)</f>
        <v>59.87</v>
      </c>
    </row>
    <row r="5" spans="1:8" ht="23.4" customHeight="1" x14ac:dyDescent="0.3">
      <c r="A5" s="5">
        <v>44105</v>
      </c>
      <c r="B5" s="6" t="s">
        <v>14</v>
      </c>
      <c r="C5" s="6" t="s">
        <v>18</v>
      </c>
      <c r="D5" s="6" t="s">
        <v>21</v>
      </c>
      <c r="E5" s="6" t="s">
        <v>26</v>
      </c>
      <c r="F5" s="6">
        <v>82</v>
      </c>
      <c r="G5" s="6">
        <v>1.87</v>
      </c>
      <c r="H5" s="6">
        <f>SUM(F5,G5)</f>
        <v>83.87</v>
      </c>
    </row>
    <row r="6" spans="1:8" ht="23.4" customHeight="1" x14ac:dyDescent="0.3">
      <c r="A6" s="6" t="s">
        <v>7</v>
      </c>
      <c r="B6" s="6" t="s">
        <v>14</v>
      </c>
      <c r="C6" s="6" t="s">
        <v>16</v>
      </c>
      <c r="D6" s="6" t="s">
        <v>21</v>
      </c>
      <c r="E6" s="6" t="s">
        <v>27</v>
      </c>
      <c r="F6" s="6">
        <v>38</v>
      </c>
      <c r="G6" s="6">
        <v>2.1800000000000002</v>
      </c>
      <c r="H6" s="6">
        <f>SUM(F6,G6)</f>
        <v>40.18</v>
      </c>
    </row>
    <row r="7" spans="1:8" ht="23.4" customHeight="1" x14ac:dyDescent="0.3">
      <c r="A7" s="6" t="s">
        <v>8</v>
      </c>
      <c r="B7" s="6" t="s">
        <v>14</v>
      </c>
      <c r="C7" s="6" t="s">
        <v>16</v>
      </c>
      <c r="D7" s="6" t="s">
        <v>19</v>
      </c>
      <c r="E7" s="6" t="s">
        <v>24</v>
      </c>
      <c r="F7" s="6">
        <v>54</v>
      </c>
      <c r="G7" s="6">
        <v>1.77</v>
      </c>
      <c r="H7" s="6">
        <f>SUM(F7,G7)</f>
        <v>55.77</v>
      </c>
    </row>
    <row r="8" spans="1:8" ht="23.4" customHeight="1" x14ac:dyDescent="0.3">
      <c r="A8" s="6" t="s">
        <v>9</v>
      </c>
      <c r="B8" s="6" t="s">
        <v>14</v>
      </c>
      <c r="C8" s="6" t="s">
        <v>16</v>
      </c>
      <c r="D8" s="6" t="s">
        <v>22</v>
      </c>
      <c r="E8" s="6" t="s">
        <v>25</v>
      </c>
      <c r="F8" s="6">
        <v>149</v>
      </c>
      <c r="G8" s="6">
        <v>3.49</v>
      </c>
      <c r="H8" s="6">
        <f>SUM(F8,G8)</f>
        <v>152.49</v>
      </c>
    </row>
    <row r="9" spans="1:8" ht="23.4" customHeight="1" x14ac:dyDescent="0.3">
      <c r="A9" s="6" t="s">
        <v>10</v>
      </c>
      <c r="B9" s="6" t="s">
        <v>15</v>
      </c>
      <c r="C9" s="6" t="s">
        <v>17</v>
      </c>
      <c r="D9" s="6" t="s">
        <v>19</v>
      </c>
      <c r="E9" s="6" t="s">
        <v>24</v>
      </c>
      <c r="F9" s="6">
        <v>51</v>
      </c>
      <c r="G9" s="6">
        <v>1.77</v>
      </c>
      <c r="H9" s="6">
        <f>SUM(F9,G9)</f>
        <v>52.77</v>
      </c>
    </row>
    <row r="10" spans="1:8" ht="23.4" customHeight="1" x14ac:dyDescent="0.3">
      <c r="A10" s="6" t="s">
        <v>11</v>
      </c>
      <c r="B10" s="6" t="s">
        <v>14</v>
      </c>
      <c r="C10" s="6" t="s">
        <v>18</v>
      </c>
      <c r="D10" s="6" t="s">
        <v>19</v>
      </c>
      <c r="E10" s="6" t="s">
        <v>24</v>
      </c>
      <c r="F10" s="6">
        <v>100</v>
      </c>
      <c r="G10" s="6">
        <v>1.77</v>
      </c>
      <c r="H10" s="6">
        <f>SUM(F10,G10)</f>
        <v>101.77</v>
      </c>
    </row>
    <row r="11" spans="1:8" ht="23.4" customHeight="1" x14ac:dyDescent="0.3">
      <c r="A11" s="6" t="s">
        <v>12</v>
      </c>
      <c r="B11" s="6" t="s">
        <v>14</v>
      </c>
      <c r="C11" s="6" t="s">
        <v>18</v>
      </c>
      <c r="D11" s="6" t="s">
        <v>23</v>
      </c>
      <c r="E11" s="6" t="s">
        <v>28</v>
      </c>
      <c r="F11" s="6">
        <v>28</v>
      </c>
      <c r="G11" s="6">
        <v>1.35</v>
      </c>
      <c r="H11" s="6">
        <f>SUM(F11,G11)</f>
        <v>29.35</v>
      </c>
    </row>
    <row r="12" spans="1:8" ht="23.4" customHeight="1" x14ac:dyDescent="0.3">
      <c r="A12" s="6" t="s">
        <v>13</v>
      </c>
      <c r="B12" s="6" t="s">
        <v>14</v>
      </c>
      <c r="C12" s="6" t="s">
        <v>16</v>
      </c>
      <c r="D12" s="6" t="s">
        <v>21</v>
      </c>
      <c r="E12" s="6" t="s">
        <v>27</v>
      </c>
      <c r="F12" s="6">
        <v>36</v>
      </c>
      <c r="G12" s="6">
        <v>2.1800000000000002</v>
      </c>
      <c r="H12" s="6">
        <f>SUM(F12,G12)</f>
        <v>38.18</v>
      </c>
    </row>
    <row r="13" spans="1:8" ht="23.4" customHeight="1" x14ac:dyDescent="0.3">
      <c r="A13" s="5">
        <v>43892</v>
      </c>
      <c r="B13" s="6" t="s">
        <v>14</v>
      </c>
      <c r="C13" s="6" t="s">
        <v>16</v>
      </c>
      <c r="D13" s="6" t="s">
        <v>21</v>
      </c>
      <c r="E13" s="6" t="s">
        <v>26</v>
      </c>
      <c r="F13" s="6">
        <v>31</v>
      </c>
      <c r="G13" s="6">
        <v>1.87</v>
      </c>
      <c r="H13" s="6">
        <f>SUM(F13,G13)</f>
        <v>32.869999999999997</v>
      </c>
    </row>
    <row r="14" spans="1:8" ht="23.4" customHeight="1" x14ac:dyDescent="0.3">
      <c r="B14" s="1"/>
      <c r="C14" s="1"/>
      <c r="D14" s="1"/>
      <c r="E14" s="1"/>
      <c r="F14" s="2">
        <f>COUNT(F2:F13)</f>
        <v>12</v>
      </c>
      <c r="G14" s="3">
        <f>SUM(G2:G13)</f>
        <v>25.38</v>
      </c>
      <c r="H14" s="4">
        <f>SUM(H2:H13)</f>
        <v>772.38</v>
      </c>
    </row>
    <row r="15" spans="1:8" ht="23.4" customHeight="1" x14ac:dyDescent="0.3">
      <c r="A15" s="19" t="s">
        <v>30</v>
      </c>
      <c r="B15" s="18" t="s">
        <v>31</v>
      </c>
      <c r="C15" s="19" t="s">
        <v>33</v>
      </c>
    </row>
    <row r="16" spans="1:8" ht="23.4" customHeight="1" x14ac:dyDescent="0.3">
      <c r="A16" s="18">
        <f>MAX(F2:F13)</f>
        <v>149</v>
      </c>
      <c r="B16" s="19">
        <f>MIN(F2:F13)</f>
        <v>28</v>
      </c>
      <c r="C16" s="18">
        <f>AVERAGE(G8,G3)</f>
        <v>3.49</v>
      </c>
    </row>
    <row r="17" spans="1:7" ht="37.799999999999997" customHeight="1" x14ac:dyDescent="0.3">
      <c r="A17" s="17" t="s">
        <v>32</v>
      </c>
      <c r="B17" s="16" t="s">
        <v>34</v>
      </c>
      <c r="C17" s="17" t="s">
        <v>35</v>
      </c>
      <c r="D17" s="15" t="s">
        <v>36</v>
      </c>
      <c r="E17" s="17" t="s">
        <v>37</v>
      </c>
      <c r="F17" s="15" t="s">
        <v>38</v>
      </c>
      <c r="G17" s="17" t="s">
        <v>39</v>
      </c>
    </row>
    <row r="18" spans="1:7" ht="23.4" customHeight="1" x14ac:dyDescent="0.3">
      <c r="A18" s="1">
        <f>SUM(F2,F3,F5,F6,F7,F8,F10,F11,F12,F13)</f>
        <v>638</v>
      </c>
      <c r="B18" s="1">
        <f>SUM(G10,G9,G7,G2)</f>
        <v>7.08</v>
      </c>
      <c r="C18" s="1">
        <f>SUM(G13,G12,G5,G4,G6)</f>
        <v>9.9700000000000006</v>
      </c>
      <c r="D18" s="1">
        <f>COUNT(F3,F4,F8)</f>
        <v>3</v>
      </c>
      <c r="E18" s="1">
        <f>AVERAGE(G3,G4,G5,G6,G8,G12,G13)</f>
        <v>2.4214285714285713</v>
      </c>
      <c r="F18" s="1">
        <f>COUNT(F9,F10,F7,F2)</f>
        <v>4</v>
      </c>
      <c r="G18" s="1">
        <f>SUM(H7,H9,H10,H2)</f>
        <v>245.08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trki</dc:creator>
  <cp:lastModifiedBy>Anita trki</cp:lastModifiedBy>
  <dcterms:created xsi:type="dcterms:W3CDTF">2022-04-28T19:14:27Z</dcterms:created>
  <dcterms:modified xsi:type="dcterms:W3CDTF">2022-04-28T20:48:25Z</dcterms:modified>
</cp:coreProperties>
</file>